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005"/>
  </bookViews>
  <sheets>
    <sheet name="FORM. CAI ES 1ER NIVEL  " sheetId="4" r:id="rId1"/>
  </sheets>
  <definedNames>
    <definedName name="_xlnm.Print_Area" localSheetId="0">'FORM. CAI ES 1ER NIVEL  '!$A$1:$F$41</definedName>
  </definedNames>
  <calcPr calcId="162913"/>
</workbook>
</file>

<file path=xl/calcChain.xml><?xml version="1.0" encoding="utf-8"?>
<calcChain xmlns="http://schemas.openxmlformats.org/spreadsheetml/2006/main">
  <c r="J25" i="4" l="1"/>
  <c r="J24" i="4"/>
  <c r="J27" i="4"/>
  <c r="J29" i="4"/>
  <c r="J28" i="4"/>
  <c r="I28" i="4"/>
  <c r="J37" i="4"/>
  <c r="J36" i="4"/>
  <c r="J35" i="4"/>
  <c r="I36" i="4"/>
  <c r="J16" i="4"/>
  <c r="J15" i="4"/>
  <c r="I18" i="4" l="1"/>
  <c r="J18" i="4"/>
  <c r="I34" i="4" l="1"/>
  <c r="I35" i="4"/>
  <c r="I37" i="4"/>
  <c r="I33" i="4"/>
  <c r="I22" i="4"/>
  <c r="I23" i="4"/>
  <c r="I24" i="4"/>
  <c r="I25" i="4"/>
  <c r="I26" i="4"/>
  <c r="I27" i="4"/>
  <c r="I29" i="4"/>
  <c r="I30" i="4"/>
  <c r="I21" i="4"/>
  <c r="I12" i="4"/>
  <c r="I13" i="4"/>
  <c r="I14" i="4"/>
  <c r="I15" i="4"/>
  <c r="I16" i="4"/>
  <c r="I17" i="4"/>
  <c r="I11" i="4"/>
  <c r="J11" i="4"/>
  <c r="I19" i="4" l="1"/>
  <c r="I39" i="4" s="1"/>
  <c r="I31" i="4"/>
  <c r="I40" i="4" s="1"/>
  <c r="I38" i="4"/>
  <c r="I41" i="4" s="1"/>
  <c r="J23" i="4"/>
  <c r="J34" i="4"/>
  <c r="J33" i="4"/>
  <c r="J30" i="4"/>
  <c r="J22" i="4"/>
  <c r="J26" i="4"/>
  <c r="J21" i="4"/>
  <c r="J12" i="4"/>
  <c r="J13" i="4"/>
  <c r="J14" i="4"/>
  <c r="J17" i="4"/>
  <c r="K18" i="4" l="1"/>
  <c r="E19" i="4" s="1"/>
  <c r="K30" i="4"/>
  <c r="E31" i="4" s="1"/>
  <c r="K37" i="4"/>
  <c r="E38" i="4" s="1"/>
  <c r="K38" i="4" l="1"/>
  <c r="E39" i="4" s="1"/>
</calcChain>
</file>

<file path=xl/sharedStrings.xml><?xml version="1.0" encoding="utf-8"?>
<sst xmlns="http://schemas.openxmlformats.org/spreadsheetml/2006/main" count="119" uniqueCount="93">
  <si>
    <t>SUB TOTAL</t>
  </si>
  <si>
    <t>TOTAL FINAL</t>
  </si>
  <si>
    <t>FASE DE SEGUIMIENTO (Las variables 21 Y 22 valen 2 puntos y las demas 1 punto haciendo un total de 6 puntos)</t>
  </si>
  <si>
    <t>SUBTOTAL</t>
  </si>
  <si>
    <t xml:space="preserve">DEPARTAMENTO: </t>
  </si>
  <si>
    <t>RED</t>
  </si>
  <si>
    <t>MUNICIPIO</t>
  </si>
  <si>
    <t>NUMERO DE CAI DEL AÑO</t>
  </si>
  <si>
    <t>DENOMINACION DEL CAI</t>
  </si>
  <si>
    <t>NOMBRE Y CARGO  DEL EVALUADOR  DEL CAI</t>
  </si>
  <si>
    <t>FECHA DEL CAI</t>
  </si>
  <si>
    <t>Preparacion</t>
  </si>
  <si>
    <t>Desarrolllo</t>
  </si>
  <si>
    <t>Seguimiento</t>
  </si>
  <si>
    <t>FIRMAS EVALUADOR Y EQUIPO DE CONDUCCION DEL CAI</t>
  </si>
  <si>
    <t>Realizar el CAI según la periodicidad establecida según el nivel Establecimiento de salud.</t>
  </si>
  <si>
    <t>Contar con información del presupuesto de salud, programación y ejecución en la fecha de realización del CAI</t>
  </si>
  <si>
    <t xml:space="preserve">Preparar las presentaciones incorporando el análisis técnico de los indicadores no cumplidos y las causas identificadas </t>
  </si>
  <si>
    <t xml:space="preserve">Enviar con anticipación la agenda del evento y los temas e indicadores a ser presentados y analizados. </t>
  </si>
  <si>
    <t>Preparar la logística anticipadamente. (Salón, ecram, equipo multimedia, suficientes sillas, iluminación y otros)</t>
  </si>
  <si>
    <t>1 EC</t>
  </si>
  <si>
    <t>2P</t>
  </si>
  <si>
    <t>NOMBRE DEL ESTABLECIMIENTO DE SALUD</t>
  </si>
  <si>
    <t>3 IH</t>
  </si>
  <si>
    <t>4P</t>
  </si>
  <si>
    <t>5PR</t>
  </si>
  <si>
    <t>6 AP</t>
  </si>
  <si>
    <t>7AE</t>
  </si>
  <si>
    <t>8PL</t>
  </si>
  <si>
    <t>FUENTE DE VERIFICACIÓN</t>
  </si>
  <si>
    <t xml:space="preserve">FASE DE PREPARACION </t>
  </si>
  <si>
    <t>Acta de reunión</t>
  </si>
  <si>
    <t>Verificar fecha según la frecuencia Establecida</t>
  </si>
  <si>
    <t>Matriz de Selección de Variables. ( Digital)</t>
  </si>
  <si>
    <t>Reportes de ejecución</t>
  </si>
  <si>
    <t>Presentación PowerPoint.</t>
  </si>
  <si>
    <t>Cartas de convocatoria y confirmación</t>
  </si>
  <si>
    <t>Agenda enviada</t>
  </si>
  <si>
    <t>Observación del lugar el inicio.</t>
  </si>
  <si>
    <t>❶</t>
  </si>
  <si>
    <t>❷</t>
  </si>
  <si>
    <t>❸</t>
  </si>
  <si>
    <t>❹</t>
  </si>
  <si>
    <t>❺</t>
  </si>
  <si>
    <t>❻</t>
  </si>
  <si>
    <t>❼</t>
  </si>
  <si>
    <t>❽</t>
  </si>
  <si>
    <t>Realizar la explicación de la agenda y de la metodología de trabajo a seguir durante el CAI.</t>
  </si>
  <si>
    <t xml:space="preserve">Realizar la lectura de compromisos y el seguimiento al plan de acción anterior con los compromisos de todos los actores </t>
  </si>
  <si>
    <t xml:space="preserve">Análisis de los riesgos de mortalidad en grupos vulnerables. Las causas fueron descritas de manera entendible. </t>
  </si>
  <si>
    <t>Análisis de los problemas identificados sus causas. Las soluciones fueron reflejadas en un plan de acción consensuado de forma participativa.</t>
  </si>
  <si>
    <t xml:space="preserve">Tomar decisiones. Se asignó responsabilidades específicas a las autoridades, en el plan de acción A) Estructura Social en Salud, B) Gobierno Municipal y C) Personal de Salud. 
Y se realizó el Acta del CAI con sus firmas
</t>
  </si>
  <si>
    <t xml:space="preserve">Se optimizó el tiempo de duración del CAI. (Tiempo de presentación, análisis y elaboración de plan de acción menor a 6 horas) </t>
  </si>
  <si>
    <t>❾</t>
  </si>
  <si>
    <t>❿</t>
  </si>
  <si>
    <t>Acta</t>
  </si>
  <si>
    <t xml:space="preserve">Presentaciones </t>
  </si>
  <si>
    <t>Instrumento de plan de acción.</t>
  </si>
  <si>
    <t>Acta y Plan de Acción</t>
  </si>
  <si>
    <t>Confirmar</t>
  </si>
  <si>
    <t xml:space="preserve">FASE DE DESARROLLO </t>
  </si>
  <si>
    <t>Realizar el seguimiento del Plan de acción en el GAM (incorporó recursos económicos, mejoró la ejecución de los recursos).</t>
  </si>
  <si>
    <t>Realizar el seguimiento del Plan de acción en la estructura Social (gestión y mejora en la ejecución de los recursos).</t>
  </si>
  <si>
    <t>Si no fueron cumplidos los compromisos, identificó las causas (económicos, logística y otros) para buscar otras acciones para cumplirlos.</t>
  </si>
  <si>
    <t xml:space="preserve">Se tiene fecha del próximo CAI. </t>
  </si>
  <si>
    <t>Actas de reuniones o Cartas de solicitudes</t>
  </si>
  <si>
    <t>Actas</t>
  </si>
  <si>
    <t>1 CP</t>
  </si>
  <si>
    <t>2 PA</t>
  </si>
  <si>
    <t>3 EA</t>
  </si>
  <si>
    <t>4 LCA</t>
  </si>
  <si>
    <t>5 PI</t>
  </si>
  <si>
    <t>6 AM</t>
  </si>
  <si>
    <t>7 CI</t>
  </si>
  <si>
    <t>8 PA</t>
  </si>
  <si>
    <t>9 TD</t>
  </si>
  <si>
    <t>10 TO</t>
  </si>
  <si>
    <t>1 SPM</t>
  </si>
  <si>
    <t>2 SPE</t>
  </si>
  <si>
    <t>3 SPE</t>
  </si>
  <si>
    <t>4 IC</t>
  </si>
  <si>
    <t>5 FC</t>
  </si>
  <si>
    <t xml:space="preserve"> Para considerar la aplicación del CAI    se realiza la siguiente ponderacion.  A)0 a 50% no cumple;   b)51 a 75 cumple regularmente  c) 76 a 90 cumple con implementacion del CAI pero requiere mejorar d) 91 a 100 cumple  con las 3 fases estipuladas en la norma. </t>
  </si>
  <si>
    <t>FORMULARIO PARA LA EVALUACION DE CAI ESTABLECIMIENTO DE SALUD 1ER NIVEL</t>
  </si>
  <si>
    <t xml:space="preserve">Conformar un equipo de conducción del CAI Establecimiento de Salud </t>
  </si>
  <si>
    <t>Preparar y seleccionar los indicadores de análisis de acuerdo a la necesidad y priorización, relacionados con el Plan Municipal, PTDI u otros, ordenados por el ciclo del continuo de la vida (Atención, Prevención, Promoción, Referencia, Gestión u otros).</t>
  </si>
  <si>
    <t xml:space="preserve">Asegurar la participación de: 
• Estructura Social en Salud(Consejo Social Municipal, Comité Local de salud, Autoridades Locales de Salud) 
• Instituciones Educación, SLIM, Universidad, deporte, otras  
Envió las convocatorias e invitación con anticipación.
Se envió la convocatoria al Personal de Salud con anticipación
</t>
  </si>
  <si>
    <t xml:space="preserve">Confirmar la asistencia y realizó la presentación de los participantes: 
a) Presidente del Concejo Social Municipal, Representantes del Comités Locales de Salud y/o representantes de la Comunidad.
b) Personal de salud de los Establecimientos de Salud convocados.
</t>
  </si>
  <si>
    <t>Verificar la participación de otros sectores o instituciones como Educación, Medio Ambiente, Producción, Defensorías, Cooperantes u otros.</t>
  </si>
  <si>
    <t>Presentar y analizar los indicadores priorizados. Idealmente por grupos del ciclo Vital ( Atención, Prevención, Promoción, Rehabilitación, Referencia Gestión u otros), identificando problemas y sus causas o el logro y sus fortalezas con gráficos fáciles de entender.</t>
  </si>
  <si>
    <t xml:space="preserve">Verificar la calidad de información en la presentación de los datos, ésta fue realizada sin errores y coherente al SNIS. </t>
  </si>
  <si>
    <t>Realizar al menos una reunión con responsables de su establecimiento para hacer seguimiento al Plan de Acción.</t>
  </si>
  <si>
    <t>Colocar 
SI=x/ NO=SUPR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</si>
</sst>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1"/>
      <color rgb="FF00B050"/>
      <name val="Calibri"/>
      <family val="2"/>
      <scheme val="minor"/>
    </font>
    <font>
      <b/>
      <sz val="16"/>
      <color theme="0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28"/>
      <color theme="1"/>
      <name val="Arial Narrow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0" tint="-0.34998626667073579"/>
      <name val="Arial Narrow"/>
      <family val="2"/>
    </font>
    <font>
      <sz val="10"/>
      <color theme="0" tint="-0.34998626667073579"/>
      <name val="Arial Narrow"/>
      <family val="2"/>
    </font>
    <font>
      <b/>
      <sz val="12"/>
      <color theme="0" tint="-0.34998626667073579"/>
      <name val="Arial Narrow"/>
      <family val="2"/>
    </font>
    <font>
      <sz val="11"/>
      <color theme="0" tint="-0.34998626667073579"/>
      <name val="Calibri"/>
      <family val="2"/>
      <scheme val="minor"/>
    </font>
    <font>
      <b/>
      <sz val="16"/>
      <color theme="0" tint="-0.34998626667073579"/>
      <name val="Arial Narrow"/>
      <family val="2"/>
    </font>
    <font>
      <b/>
      <sz val="8"/>
      <color theme="0" tint="-0.34998626667073579"/>
      <name val="Arial Narrow"/>
      <family val="2"/>
    </font>
    <font>
      <sz val="8"/>
      <color theme="0" tint="-0.34998626667073579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3" fillId="0" borderId="14" xfId="0" applyFont="1" applyBorder="1" applyAlignment="1" applyProtection="1">
      <alignment vertical="top"/>
      <protection locked="0"/>
    </xf>
    <xf numFmtId="0" fontId="1" fillId="3" borderId="0" xfId="0" applyFont="1" applyFill="1" applyAlignment="1" applyProtection="1">
      <alignment horizontal="left"/>
      <protection locked="0"/>
    </xf>
    <xf numFmtId="1" fontId="1" fillId="4" borderId="13" xfId="0" applyNumberFormat="1" applyFont="1" applyFill="1" applyBorder="1" applyAlignment="1" applyProtection="1">
      <alignment horizontal="left" vertical="center"/>
    </xf>
    <xf numFmtId="0" fontId="1" fillId="4" borderId="14" xfId="0" applyFont="1" applyFill="1" applyBorder="1" applyAlignment="1" applyProtection="1">
      <alignment horizontal="left" vertical="center"/>
    </xf>
    <xf numFmtId="1" fontId="1" fillId="4" borderId="14" xfId="0" applyNumberFormat="1" applyFont="1" applyFill="1" applyBorder="1" applyAlignment="1" applyProtection="1">
      <alignment horizontal="left" vertical="center"/>
    </xf>
    <xf numFmtId="9" fontId="8" fillId="7" borderId="14" xfId="0" applyNumberFormat="1" applyFont="1" applyFill="1" applyBorder="1" applyAlignment="1" applyProtection="1">
      <alignment horizontal="center" vertical="center"/>
    </xf>
    <xf numFmtId="0" fontId="6" fillId="3" borderId="21" xfId="0" applyFont="1" applyFill="1" applyBorder="1" applyAlignment="1" applyProtection="1">
      <alignment horizontal="left" vertical="center"/>
      <protection locked="0"/>
    </xf>
    <xf numFmtId="9" fontId="7" fillId="3" borderId="21" xfId="0" applyNumberFormat="1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1" fillId="4" borderId="6" xfId="0" applyFont="1" applyFill="1" applyBorder="1" applyAlignment="1" applyProtection="1">
      <alignment horizontal="center" vertical="center" wrapText="1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 applyProtection="1">
      <alignment horizontal="center" vertical="top" wrapText="1"/>
    </xf>
    <xf numFmtId="0" fontId="9" fillId="8" borderId="29" xfId="0" applyFont="1" applyFill="1" applyBorder="1" applyAlignment="1">
      <alignment horizontal="left" vertical="center" wrapText="1"/>
    </xf>
    <xf numFmtId="0" fontId="10" fillId="9" borderId="30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12" fillId="10" borderId="0" xfId="0" applyFont="1" applyFill="1" applyBorder="1" applyAlignment="1" applyProtection="1">
      <alignment horizontal="center" vertical="center"/>
    </xf>
    <xf numFmtId="0" fontId="13" fillId="10" borderId="0" xfId="0" applyFont="1" applyFill="1" applyAlignment="1" applyProtection="1">
      <alignment horizontal="left"/>
    </xf>
    <xf numFmtId="9" fontId="13" fillId="10" borderId="0" xfId="0" applyNumberFormat="1" applyFont="1" applyFill="1" applyAlignment="1" applyProtection="1">
      <alignment horizontal="left"/>
    </xf>
    <xf numFmtId="0" fontId="14" fillId="3" borderId="0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0" fontId="13" fillId="3" borderId="0" xfId="0" applyFont="1" applyFill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 vertical="center"/>
    </xf>
    <xf numFmtId="0" fontId="13" fillId="3" borderId="0" xfId="0" applyFont="1" applyFill="1" applyAlignment="1" applyProtection="1">
      <alignment horizontal="left"/>
    </xf>
    <xf numFmtId="0" fontId="13" fillId="0" borderId="0" xfId="0" applyFont="1" applyAlignment="1" applyProtection="1">
      <alignment horizontal="left"/>
    </xf>
    <xf numFmtId="0" fontId="12" fillId="3" borderId="0" xfId="0" applyFont="1" applyFill="1" applyBorder="1" applyAlignment="1" applyProtection="1">
      <alignment horizontal="left" vertical="center"/>
    </xf>
    <xf numFmtId="0" fontId="15" fillId="3" borderId="0" xfId="0" applyFont="1" applyFill="1" applyBorder="1" applyAlignment="1" applyProtection="1">
      <alignment horizontal="center" vertical="top"/>
    </xf>
    <xf numFmtId="49" fontId="15" fillId="3" borderId="0" xfId="0" applyNumberFormat="1" applyFont="1" applyFill="1" applyBorder="1" applyAlignment="1" applyProtection="1">
      <alignment horizontal="center" vertical="top"/>
    </xf>
    <xf numFmtId="9" fontId="13" fillId="3" borderId="0" xfId="0" applyNumberFormat="1" applyFont="1" applyFill="1" applyAlignment="1" applyProtection="1">
      <alignment horizontal="left"/>
    </xf>
    <xf numFmtId="1" fontId="13" fillId="0" borderId="0" xfId="0" applyNumberFormat="1" applyFont="1" applyAlignment="1" applyProtection="1">
      <alignment horizontal="left"/>
    </xf>
    <xf numFmtId="9" fontId="16" fillId="3" borderId="0" xfId="0" applyNumberFormat="1" applyFont="1" applyFill="1" applyBorder="1" applyAlignment="1" applyProtection="1">
      <alignment horizontal="center" vertical="center"/>
    </xf>
    <xf numFmtId="9" fontId="17" fillId="3" borderId="0" xfId="0" applyNumberFormat="1" applyFont="1" applyFill="1" applyBorder="1" applyAlignment="1" applyProtection="1">
      <alignment horizontal="center" vertical="center" wrapText="1"/>
    </xf>
    <xf numFmtId="0" fontId="13" fillId="3" borderId="0" xfId="0" applyFont="1" applyFill="1" applyBorder="1" applyAlignment="1" applyProtection="1">
      <alignment horizontal="left" wrapText="1"/>
    </xf>
    <xf numFmtId="0" fontId="18" fillId="3" borderId="0" xfId="0" applyFont="1" applyFill="1" applyBorder="1" applyAlignment="1" applyProtection="1">
      <alignment horizontal="left" wrapText="1"/>
    </xf>
    <xf numFmtId="0" fontId="18" fillId="3" borderId="0" xfId="0" applyFont="1" applyFill="1" applyAlignment="1" applyProtection="1">
      <alignment horizontal="left" wrapText="1"/>
    </xf>
    <xf numFmtId="0" fontId="1" fillId="3" borderId="3" xfId="0" applyFont="1" applyFill="1" applyBorder="1" applyAlignment="1" applyProtection="1">
      <alignment horizontal="left"/>
      <protection locked="0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3" borderId="10" xfId="0" applyFont="1" applyFill="1" applyBorder="1" applyAlignment="1" applyProtection="1">
      <alignment horizontal="left"/>
      <protection locked="0"/>
    </xf>
    <xf numFmtId="0" fontId="2" fillId="2" borderId="13" xfId="0" applyFont="1" applyFill="1" applyBorder="1" applyAlignment="1" applyProtection="1">
      <alignment horizontal="left" vertical="center" wrapText="1"/>
    </xf>
    <xf numFmtId="0" fontId="2" fillId="5" borderId="13" xfId="0" applyFont="1" applyFill="1" applyBorder="1" applyAlignment="1" applyProtection="1">
      <alignment horizontal="left" vertical="center" wrapText="1"/>
    </xf>
    <xf numFmtId="0" fontId="2" fillId="6" borderId="13" xfId="0" applyFont="1" applyFill="1" applyBorder="1" applyAlignment="1" applyProtection="1">
      <alignment horizontal="left" vertical="center" wrapText="1"/>
    </xf>
    <xf numFmtId="0" fontId="11" fillId="3" borderId="1" xfId="0" applyFont="1" applyFill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wrapText="1"/>
    </xf>
    <xf numFmtId="0" fontId="1" fillId="0" borderId="23" xfId="0" applyFont="1" applyBorder="1" applyAlignment="1" applyProtection="1">
      <alignment horizontal="center" wrapText="1"/>
    </xf>
    <xf numFmtId="0" fontId="1" fillId="0" borderId="24" xfId="0" applyFont="1" applyBorder="1" applyAlignment="1" applyProtection="1">
      <alignment horizontal="center" wrapText="1"/>
    </xf>
    <xf numFmtId="0" fontId="2" fillId="5" borderId="11" xfId="0" applyFont="1" applyFill="1" applyBorder="1" applyAlignment="1" applyProtection="1">
      <alignment horizontal="center" vertical="top" wrapText="1"/>
    </xf>
    <xf numFmtId="0" fontId="2" fillId="5" borderId="6" xfId="0" applyFont="1" applyFill="1" applyBorder="1" applyAlignment="1" applyProtection="1">
      <alignment horizontal="center" vertical="top" wrapText="1"/>
    </xf>
    <xf numFmtId="0" fontId="2" fillId="5" borderId="2" xfId="0" applyFont="1" applyFill="1" applyBorder="1" applyAlignment="1" applyProtection="1">
      <alignment horizontal="center" vertical="top" wrapText="1"/>
    </xf>
    <xf numFmtId="0" fontId="1" fillId="3" borderId="25" xfId="0" applyFont="1" applyFill="1" applyBorder="1" applyAlignment="1" applyProtection="1">
      <alignment horizontal="left"/>
      <protection locked="0"/>
    </xf>
    <xf numFmtId="0" fontId="1" fillId="3" borderId="7" xfId="0" applyFont="1" applyFill="1" applyBorder="1" applyAlignment="1" applyProtection="1">
      <alignment horizontal="left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3" borderId="10" xfId="0" applyFont="1" applyFill="1" applyBorder="1" applyAlignment="1" applyProtection="1">
      <alignment horizontal="left"/>
      <protection locked="0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0" fillId="3" borderId="16" xfId="0" applyFont="1" applyFill="1" applyBorder="1" applyAlignment="1" applyProtection="1">
      <alignment horizontal="center" vertical="top"/>
      <protection locked="0"/>
    </xf>
    <xf numFmtId="0" fontId="0" fillId="3" borderId="17" xfId="0" applyFont="1" applyFill="1" applyBorder="1" applyAlignment="1" applyProtection="1">
      <alignment horizontal="center" vertical="top"/>
      <protection locked="0"/>
    </xf>
    <xf numFmtId="0" fontId="0" fillId="3" borderId="18" xfId="0" applyFont="1" applyFill="1" applyBorder="1" applyAlignment="1" applyProtection="1">
      <alignment horizontal="center" vertical="top"/>
      <protection locked="0"/>
    </xf>
    <xf numFmtId="0" fontId="1" fillId="11" borderId="19" xfId="0" applyFont="1" applyFill="1" applyBorder="1" applyAlignment="1" applyProtection="1">
      <alignment horizontal="left"/>
      <protection locked="0"/>
    </xf>
    <xf numFmtId="0" fontId="1" fillId="11" borderId="20" xfId="0" applyFont="1" applyFill="1" applyBorder="1" applyAlignment="1" applyProtection="1">
      <alignment horizontal="left"/>
      <protection locked="0"/>
    </xf>
    <xf numFmtId="0" fontId="1" fillId="11" borderId="9" xfId="0" applyFont="1" applyFill="1" applyBorder="1" applyAlignment="1" applyProtection="1">
      <alignment horizontal="left"/>
      <protection locked="0"/>
    </xf>
    <xf numFmtId="0" fontId="1" fillId="11" borderId="1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1" fillId="4" borderId="11" xfId="0" applyFont="1" applyFill="1" applyBorder="1" applyAlignment="1" applyProtection="1">
      <alignment horizontal="center" vertical="center" wrapText="1"/>
      <protection locked="0"/>
    </xf>
    <xf numFmtId="0" fontId="1" fillId="4" borderId="6" xfId="0" applyFont="1" applyFill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2" fillId="6" borderId="11" xfId="0" applyFont="1" applyFill="1" applyBorder="1" applyAlignment="1" applyProtection="1">
      <alignment horizontal="center" vertical="top" wrapText="1"/>
    </xf>
    <xf numFmtId="0" fontId="2" fillId="6" borderId="6" xfId="0" applyFont="1" applyFill="1" applyBorder="1" applyAlignment="1" applyProtection="1">
      <alignment horizontal="center" vertical="top" wrapText="1"/>
    </xf>
    <xf numFmtId="0" fontId="2" fillId="6" borderId="2" xfId="0" applyFont="1" applyFill="1" applyBorder="1" applyAlignment="1" applyProtection="1">
      <alignment horizontal="center" vertical="top" wrapText="1"/>
    </xf>
    <xf numFmtId="0" fontId="11" fillId="3" borderId="1" xfId="0" applyFont="1" applyFill="1" applyBorder="1" applyAlignment="1" applyProtection="1">
      <alignment horizontal="left" vertical="top" wrapText="1"/>
      <protection locked="0"/>
    </xf>
    <xf numFmtId="0" fontId="1" fillId="11" borderId="9" xfId="0" applyFont="1" applyFill="1" applyBorder="1" applyAlignment="1" applyProtection="1">
      <alignment horizontal="left" wrapText="1"/>
      <protection locked="0"/>
    </xf>
    <xf numFmtId="0" fontId="1" fillId="11" borderId="1" xfId="0" applyFont="1" applyFill="1" applyBorder="1" applyAlignment="1" applyProtection="1">
      <alignment horizontal="left" wrapText="1"/>
      <protection locked="0"/>
    </xf>
    <xf numFmtId="0" fontId="1" fillId="11" borderId="11" xfId="0" applyFont="1" applyFill="1" applyBorder="1" applyAlignment="1" applyProtection="1">
      <alignment horizontal="left"/>
      <protection locked="0"/>
    </xf>
    <xf numFmtId="0" fontId="1" fillId="11" borderId="2" xfId="0" applyFont="1" applyFill="1" applyBorder="1" applyAlignment="1" applyProtection="1">
      <alignment horizontal="left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1" fillId="4" borderId="6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" fillId="3" borderId="26" xfId="0" applyFont="1" applyFill="1" applyBorder="1" applyAlignment="1" applyProtection="1">
      <alignment horizontal="left"/>
      <protection locked="0"/>
    </xf>
    <xf numFmtId="0" fontId="1" fillId="3" borderId="27" xfId="0" applyFont="1" applyFill="1" applyBorder="1" applyAlignment="1" applyProtection="1">
      <alignment horizontal="left"/>
      <protection locked="0"/>
    </xf>
    <xf numFmtId="0" fontId="1" fillId="3" borderId="28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1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ES 1ER NIVEL  '!$G$11:$G$18</c:f>
              <c:strCache>
                <c:ptCount val="8"/>
                <c:pt idx="0">
                  <c:v>1 EC</c:v>
                </c:pt>
                <c:pt idx="1">
                  <c:v>2P</c:v>
                </c:pt>
                <c:pt idx="2">
                  <c:v>3 IH</c:v>
                </c:pt>
                <c:pt idx="3">
                  <c:v>4P</c:v>
                </c:pt>
                <c:pt idx="4">
                  <c:v>5PR</c:v>
                </c:pt>
                <c:pt idx="5">
                  <c:v>6 AP</c:v>
                </c:pt>
                <c:pt idx="6">
                  <c:v>7AE</c:v>
                </c:pt>
                <c:pt idx="7">
                  <c:v>8PL</c:v>
                </c:pt>
              </c:strCache>
            </c:strRef>
          </c:cat>
          <c:val>
            <c:numRef>
              <c:f>'FORM. CAI ES 1ER NIVEL  '!$H$11:$H$18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51-454D-A1DB-291C3EBC8B9D}"/>
            </c:ext>
          </c:extLst>
        </c:ser>
        <c:ser>
          <c:idx val="1"/>
          <c:order val="1"/>
          <c:cat>
            <c:strRef>
              <c:f>'FORM. CAI ES 1ER NIVEL  '!$G$11:$G$18</c:f>
              <c:strCache>
                <c:ptCount val="8"/>
                <c:pt idx="0">
                  <c:v>1 EC</c:v>
                </c:pt>
                <c:pt idx="1">
                  <c:v>2P</c:v>
                </c:pt>
                <c:pt idx="2">
                  <c:v>3 IH</c:v>
                </c:pt>
                <c:pt idx="3">
                  <c:v>4P</c:v>
                </c:pt>
                <c:pt idx="4">
                  <c:v>5PR</c:v>
                </c:pt>
                <c:pt idx="5">
                  <c:v>6 AP</c:v>
                </c:pt>
                <c:pt idx="6">
                  <c:v>7AE</c:v>
                </c:pt>
                <c:pt idx="7">
                  <c:v>8PL</c:v>
                </c:pt>
              </c:strCache>
            </c:strRef>
          </c:cat>
          <c:val>
            <c:numRef>
              <c:f>'FORM. CAI ES 1ER NIVEL  '!$I$11:$I$18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051-454D-A1DB-291C3EBC8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52480"/>
        <c:axId val="40858368"/>
      </c:radarChart>
      <c:catAx>
        <c:axId val="4085248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40858368"/>
        <c:crosses val="autoZero"/>
        <c:auto val="1"/>
        <c:lblAlgn val="ctr"/>
        <c:lblOffset val="100"/>
        <c:noMultiLvlLbl val="0"/>
      </c:catAx>
      <c:valAx>
        <c:axId val="40858368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4085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ES 1ER NIVEL  '!$G$21:$G$30</c:f>
              <c:strCache>
                <c:ptCount val="10"/>
                <c:pt idx="0">
                  <c:v>1 CP</c:v>
                </c:pt>
                <c:pt idx="1">
                  <c:v>2 PA</c:v>
                </c:pt>
                <c:pt idx="2">
                  <c:v>3 EA</c:v>
                </c:pt>
                <c:pt idx="3">
                  <c:v>4 LCA</c:v>
                </c:pt>
                <c:pt idx="4">
                  <c:v>5 PI</c:v>
                </c:pt>
                <c:pt idx="5">
                  <c:v>6 AM</c:v>
                </c:pt>
                <c:pt idx="6">
                  <c:v>7 CI</c:v>
                </c:pt>
                <c:pt idx="7">
                  <c:v>8 PA</c:v>
                </c:pt>
                <c:pt idx="8">
                  <c:v>9 TD</c:v>
                </c:pt>
                <c:pt idx="9">
                  <c:v>10 TO</c:v>
                </c:pt>
              </c:strCache>
            </c:strRef>
          </c:cat>
          <c:val>
            <c:numRef>
              <c:f>'FORM. CAI ES 1ER NIVEL  '!$H$21:$H$30</c:f>
              <c:numCache>
                <c:formatCode>General</c:formatCode>
                <c:ptCount val="1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4C-464C-920D-8AF49A33076A}"/>
            </c:ext>
          </c:extLst>
        </c:ser>
        <c:ser>
          <c:idx val="1"/>
          <c:order val="1"/>
          <c:cat>
            <c:strRef>
              <c:f>'FORM. CAI ES 1ER NIVEL  '!$G$21:$G$30</c:f>
              <c:strCache>
                <c:ptCount val="10"/>
                <c:pt idx="0">
                  <c:v>1 CP</c:v>
                </c:pt>
                <c:pt idx="1">
                  <c:v>2 PA</c:v>
                </c:pt>
                <c:pt idx="2">
                  <c:v>3 EA</c:v>
                </c:pt>
                <c:pt idx="3">
                  <c:v>4 LCA</c:v>
                </c:pt>
                <c:pt idx="4">
                  <c:v>5 PI</c:v>
                </c:pt>
                <c:pt idx="5">
                  <c:v>6 AM</c:v>
                </c:pt>
                <c:pt idx="6">
                  <c:v>7 CI</c:v>
                </c:pt>
                <c:pt idx="7">
                  <c:v>8 PA</c:v>
                </c:pt>
                <c:pt idx="8">
                  <c:v>9 TD</c:v>
                </c:pt>
                <c:pt idx="9">
                  <c:v>10 TO</c:v>
                </c:pt>
              </c:strCache>
            </c:strRef>
          </c:cat>
          <c:val>
            <c:numRef>
              <c:f>'FORM. CAI ES 1ER NIVEL  '!$I$21:$I$30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4C-464C-920D-8AF49A330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79072"/>
        <c:axId val="93540352"/>
      </c:radarChart>
      <c:catAx>
        <c:axId val="8297907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93540352"/>
        <c:crosses val="autoZero"/>
        <c:auto val="1"/>
        <c:lblAlgn val="ctr"/>
        <c:lblOffset val="100"/>
        <c:noMultiLvlLbl val="0"/>
      </c:catAx>
      <c:valAx>
        <c:axId val="9354035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82979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ES 1ER NIVEL  '!$G$33:$G$37</c:f>
              <c:strCache>
                <c:ptCount val="5"/>
                <c:pt idx="0">
                  <c:v>1 SPM</c:v>
                </c:pt>
                <c:pt idx="1">
                  <c:v>2 SPE</c:v>
                </c:pt>
                <c:pt idx="2">
                  <c:v>3 SPE</c:v>
                </c:pt>
                <c:pt idx="3">
                  <c:v>4 IC</c:v>
                </c:pt>
                <c:pt idx="4">
                  <c:v>5 FC</c:v>
                </c:pt>
              </c:strCache>
            </c:strRef>
          </c:cat>
          <c:val>
            <c:numRef>
              <c:f>'FORM. CAI ES 1ER NIVEL  '!$H$33:$H$37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4F2-4040-B815-809168F9E03E}"/>
            </c:ext>
          </c:extLst>
        </c:ser>
        <c:ser>
          <c:idx val="1"/>
          <c:order val="1"/>
          <c:cat>
            <c:strRef>
              <c:f>'FORM. CAI ES 1ER NIVEL  '!$G$33:$G$37</c:f>
              <c:strCache>
                <c:ptCount val="5"/>
                <c:pt idx="0">
                  <c:v>1 SPM</c:v>
                </c:pt>
                <c:pt idx="1">
                  <c:v>2 SPE</c:v>
                </c:pt>
                <c:pt idx="2">
                  <c:v>3 SPE</c:v>
                </c:pt>
                <c:pt idx="3">
                  <c:v>4 IC</c:v>
                </c:pt>
                <c:pt idx="4">
                  <c:v>5 FC</c:v>
                </c:pt>
              </c:strCache>
            </c:strRef>
          </c:cat>
          <c:val>
            <c:numRef>
              <c:f>'FORM. CAI ES 1ER NIVEL  '!$I$33:$I$37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4F2-4040-B815-809168F9E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27360"/>
        <c:axId val="40528896"/>
      </c:radarChart>
      <c:catAx>
        <c:axId val="4052736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40528896"/>
        <c:crosses val="autoZero"/>
        <c:auto val="1"/>
        <c:lblAlgn val="ctr"/>
        <c:lblOffset val="100"/>
        <c:noMultiLvlLbl val="0"/>
      </c:catAx>
      <c:valAx>
        <c:axId val="4052889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40527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'FORM. CAI ES 1ER NIVEL  '!$H$39:$H$41</c:f>
              <c:strCache>
                <c:ptCount val="3"/>
                <c:pt idx="0">
                  <c:v>Preparacion</c:v>
                </c:pt>
                <c:pt idx="1">
                  <c:v>Desarrolllo</c:v>
                </c:pt>
                <c:pt idx="2">
                  <c:v>Seguimiento</c:v>
                </c:pt>
              </c:strCache>
            </c:strRef>
          </c:cat>
          <c:val>
            <c:numRef>
              <c:f>'FORM. CAI ES 1ER NIVEL  '!$I$39:$I$41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91-4AF5-981C-2C192EC41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546304"/>
        <c:axId val="40547840"/>
        <c:axId val="0"/>
      </c:bar3DChart>
      <c:catAx>
        <c:axId val="40546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547840"/>
        <c:crosses val="autoZero"/>
        <c:auto val="1"/>
        <c:lblAlgn val="ctr"/>
        <c:lblOffset val="100"/>
        <c:noMultiLvlLbl val="0"/>
      </c:catAx>
      <c:valAx>
        <c:axId val="405478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0546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17318</xdr:colOff>
      <xdr:row>12</xdr:row>
      <xdr:rowOff>25977</xdr:rowOff>
    </xdr:from>
    <xdr:to>
      <xdr:col>5</xdr:col>
      <xdr:colOff>3801340</xdr:colOff>
      <xdr:row>16</xdr:row>
      <xdr:rowOff>302200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25977</xdr:colOff>
      <xdr:row>20</xdr:row>
      <xdr:rowOff>329911</xdr:rowOff>
    </xdr:from>
    <xdr:to>
      <xdr:col>5</xdr:col>
      <xdr:colOff>3835977</xdr:colOff>
      <xdr:row>29</xdr:row>
      <xdr:rowOff>336839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32</xdr:row>
      <xdr:rowOff>44161</xdr:rowOff>
    </xdr:from>
    <xdr:to>
      <xdr:col>5</xdr:col>
      <xdr:colOff>3073977</xdr:colOff>
      <xdr:row>37</xdr:row>
      <xdr:rowOff>206375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510885</xdr:colOff>
      <xdr:row>38</xdr:row>
      <xdr:rowOff>43295</xdr:rowOff>
    </xdr:from>
    <xdr:to>
      <xdr:col>2</xdr:col>
      <xdr:colOff>3186544</xdr:colOff>
      <xdr:row>38</xdr:row>
      <xdr:rowOff>1800224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view="pageBreakPreview" topLeftCell="A30" zoomScale="60" zoomScaleNormal="80" workbookViewId="0">
      <selection activeCell="D33" sqref="D33"/>
    </sheetView>
  </sheetViews>
  <sheetFormatPr baseColWidth="10" defaultRowHeight="12.75" x14ac:dyDescent="0.2"/>
  <cols>
    <col min="1" max="1" width="4.28515625" style="1" customWidth="1"/>
    <col min="2" max="2" width="42.42578125" style="1" customWidth="1"/>
    <col min="3" max="3" width="40.7109375" style="1" customWidth="1"/>
    <col min="4" max="4" width="29.85546875" style="1" customWidth="1"/>
    <col min="5" max="5" width="19.7109375" style="1" customWidth="1"/>
    <col min="6" max="6" width="57.85546875" style="3" customWidth="1"/>
    <col min="7" max="7" width="16" style="24" customWidth="1"/>
    <col min="8" max="8" width="7.42578125" style="24" customWidth="1"/>
    <col min="9" max="10" width="11.42578125" style="24" customWidth="1"/>
    <col min="11" max="11" width="11.42578125" style="25"/>
    <col min="12" max="16384" width="11.42578125" style="1"/>
  </cols>
  <sheetData>
    <row r="1" spans="1:11" ht="27.75" customHeight="1" thickBot="1" x14ac:dyDescent="0.25">
      <c r="A1" s="47" t="s">
        <v>83</v>
      </c>
      <c r="B1" s="48"/>
      <c r="C1" s="48"/>
      <c r="D1" s="48"/>
      <c r="E1" s="48"/>
      <c r="F1" s="48"/>
      <c r="G1" s="23"/>
      <c r="H1" s="23"/>
    </row>
    <row r="2" spans="1:11" ht="19.5" customHeight="1" thickTop="1" x14ac:dyDescent="0.2">
      <c r="A2" s="67" t="s">
        <v>4</v>
      </c>
      <c r="B2" s="68"/>
      <c r="C2" s="55"/>
      <c r="D2" s="56"/>
      <c r="E2" s="56"/>
      <c r="F2" s="57"/>
      <c r="G2" s="26"/>
      <c r="H2" s="26"/>
    </row>
    <row r="3" spans="1:11" ht="19.5" customHeight="1" x14ac:dyDescent="0.2">
      <c r="A3" s="69" t="s">
        <v>5</v>
      </c>
      <c r="B3" s="70"/>
      <c r="C3" s="58"/>
      <c r="D3" s="59"/>
      <c r="E3" s="59"/>
      <c r="F3" s="60"/>
      <c r="G3" s="26"/>
      <c r="H3" s="26"/>
    </row>
    <row r="4" spans="1:11" ht="19.5" customHeight="1" x14ac:dyDescent="0.2">
      <c r="A4" s="69" t="s">
        <v>6</v>
      </c>
      <c r="B4" s="70"/>
      <c r="C4" s="58"/>
      <c r="D4" s="59"/>
      <c r="E4" s="59"/>
      <c r="F4" s="60"/>
      <c r="G4" s="26"/>
      <c r="H4" s="26"/>
    </row>
    <row r="5" spans="1:11" ht="19.5" customHeight="1" x14ac:dyDescent="0.2">
      <c r="A5" s="86" t="s">
        <v>22</v>
      </c>
      <c r="B5" s="87"/>
      <c r="C5" s="40"/>
      <c r="D5" s="41"/>
      <c r="E5" s="41"/>
      <c r="F5" s="42"/>
      <c r="G5" s="26"/>
      <c r="H5" s="26"/>
    </row>
    <row r="6" spans="1:11" ht="19.5" customHeight="1" x14ac:dyDescent="0.2">
      <c r="A6" s="86" t="s">
        <v>7</v>
      </c>
      <c r="B6" s="87"/>
      <c r="C6" s="58"/>
      <c r="D6" s="59"/>
      <c r="E6" s="59"/>
      <c r="F6" s="60"/>
      <c r="G6" s="26"/>
      <c r="H6" s="26"/>
    </row>
    <row r="7" spans="1:11" ht="19.5" customHeight="1" x14ac:dyDescent="0.2">
      <c r="A7" s="86" t="s">
        <v>8</v>
      </c>
      <c r="B7" s="87"/>
      <c r="C7" s="58"/>
      <c r="D7" s="59"/>
      <c r="E7" s="59"/>
      <c r="F7" s="60"/>
      <c r="G7" s="26"/>
      <c r="H7" s="26"/>
    </row>
    <row r="8" spans="1:11" ht="19.5" customHeight="1" x14ac:dyDescent="0.2">
      <c r="A8" s="84" t="s">
        <v>9</v>
      </c>
      <c r="B8" s="85"/>
      <c r="C8" s="58"/>
      <c r="D8" s="59"/>
      <c r="E8" s="59"/>
      <c r="F8" s="60"/>
      <c r="G8" s="26"/>
      <c r="H8" s="26"/>
    </row>
    <row r="9" spans="1:11" ht="19.5" customHeight="1" thickBot="1" x14ac:dyDescent="0.25">
      <c r="A9" s="84" t="s">
        <v>10</v>
      </c>
      <c r="B9" s="85"/>
      <c r="C9" s="92"/>
      <c r="D9" s="93"/>
      <c r="E9" s="93"/>
      <c r="F9" s="94"/>
      <c r="G9" s="26"/>
      <c r="H9" s="26"/>
    </row>
    <row r="10" spans="1:11" ht="30.75" customHeight="1" thickTop="1" x14ac:dyDescent="0.2">
      <c r="A10" s="74" t="s">
        <v>30</v>
      </c>
      <c r="B10" s="75"/>
      <c r="C10" s="76"/>
      <c r="D10" s="11" t="s">
        <v>29</v>
      </c>
      <c r="E10" s="43" t="s">
        <v>92</v>
      </c>
      <c r="F10" s="61"/>
      <c r="G10" s="27"/>
      <c r="H10" s="27"/>
      <c r="I10" s="28"/>
      <c r="J10" s="28"/>
      <c r="K10" s="29"/>
    </row>
    <row r="11" spans="1:11" ht="33.75" customHeight="1" thickBot="1" x14ac:dyDescent="0.25">
      <c r="A11" s="16" t="s">
        <v>39</v>
      </c>
      <c r="B11" s="46" t="s">
        <v>84</v>
      </c>
      <c r="C11" s="46"/>
      <c r="D11" s="15" t="s">
        <v>31</v>
      </c>
      <c r="E11" s="2"/>
      <c r="F11" s="62"/>
      <c r="G11" s="20" t="s">
        <v>20</v>
      </c>
      <c r="H11" s="20"/>
      <c r="I11" s="21">
        <f>IF(E11="X",1,0)</f>
        <v>0</v>
      </c>
      <c r="J11" s="21">
        <f>IF(E11="X",1,0)</f>
        <v>0</v>
      </c>
      <c r="K11" s="21"/>
    </row>
    <row r="12" spans="1:11" ht="51" customHeight="1" thickBot="1" x14ac:dyDescent="0.25">
      <c r="A12" s="16" t="s">
        <v>40</v>
      </c>
      <c r="B12" s="46" t="s">
        <v>15</v>
      </c>
      <c r="C12" s="46"/>
      <c r="D12" s="15" t="s">
        <v>32</v>
      </c>
      <c r="E12" s="2"/>
      <c r="F12" s="62"/>
      <c r="G12" s="20" t="s">
        <v>21</v>
      </c>
      <c r="H12" s="20"/>
      <c r="I12" s="21">
        <f t="shared" ref="I12:I18" si="0">IF(E12="X",1,0)</f>
        <v>0</v>
      </c>
      <c r="J12" s="21">
        <f t="shared" ref="J12:J18" si="1">IF(E12="X",1,0)</f>
        <v>0</v>
      </c>
      <c r="K12" s="21"/>
    </row>
    <row r="13" spans="1:11" ht="66.75" customHeight="1" thickBot="1" x14ac:dyDescent="0.25">
      <c r="A13" s="16" t="s">
        <v>41</v>
      </c>
      <c r="B13" s="91" t="s">
        <v>85</v>
      </c>
      <c r="C13" s="91"/>
      <c r="D13" s="15" t="s">
        <v>33</v>
      </c>
      <c r="E13" s="2"/>
      <c r="F13" s="62"/>
      <c r="G13" s="20" t="s">
        <v>23</v>
      </c>
      <c r="H13" s="20"/>
      <c r="I13" s="21">
        <f t="shared" si="0"/>
        <v>0</v>
      </c>
      <c r="J13" s="21">
        <f t="shared" si="1"/>
        <v>0</v>
      </c>
      <c r="K13" s="21"/>
    </row>
    <row r="14" spans="1:11" ht="36.75" customHeight="1" thickBot="1" x14ac:dyDescent="0.25">
      <c r="A14" s="16" t="s">
        <v>42</v>
      </c>
      <c r="B14" s="91" t="s">
        <v>16</v>
      </c>
      <c r="C14" s="91"/>
      <c r="D14" s="15" t="s">
        <v>34</v>
      </c>
      <c r="E14" s="2"/>
      <c r="F14" s="62"/>
      <c r="G14" s="20" t="s">
        <v>24</v>
      </c>
      <c r="H14" s="20"/>
      <c r="I14" s="21">
        <f t="shared" si="0"/>
        <v>0</v>
      </c>
      <c r="J14" s="21">
        <f t="shared" si="1"/>
        <v>0</v>
      </c>
      <c r="K14" s="21"/>
    </row>
    <row r="15" spans="1:11" ht="40.5" customHeight="1" thickBot="1" x14ac:dyDescent="0.25">
      <c r="A15" s="16" t="s">
        <v>43</v>
      </c>
      <c r="B15" s="46" t="s">
        <v>17</v>
      </c>
      <c r="C15" s="46"/>
      <c r="D15" s="15" t="s">
        <v>35</v>
      </c>
      <c r="E15" s="2"/>
      <c r="F15" s="62"/>
      <c r="G15" s="20" t="s">
        <v>25</v>
      </c>
      <c r="H15" s="20"/>
      <c r="I15" s="21">
        <f t="shared" si="0"/>
        <v>0</v>
      </c>
      <c r="J15" s="21">
        <f>IF(E15="X",1,0)</f>
        <v>0</v>
      </c>
      <c r="K15" s="21"/>
    </row>
    <row r="16" spans="1:11" ht="116.25" customHeight="1" thickBot="1" x14ac:dyDescent="0.25">
      <c r="A16" s="16" t="s">
        <v>44</v>
      </c>
      <c r="B16" s="46" t="s">
        <v>86</v>
      </c>
      <c r="C16" s="46"/>
      <c r="D16" s="15" t="s">
        <v>36</v>
      </c>
      <c r="E16" s="2"/>
      <c r="F16" s="62"/>
      <c r="G16" s="20" t="s">
        <v>26</v>
      </c>
      <c r="H16" s="20"/>
      <c r="I16" s="21">
        <f t="shared" si="0"/>
        <v>0</v>
      </c>
      <c r="J16" s="21">
        <f>IF(E16="X",1,0)</f>
        <v>0</v>
      </c>
      <c r="K16" s="21"/>
    </row>
    <row r="17" spans="1:11" ht="35.25" customHeight="1" thickBot="1" x14ac:dyDescent="0.25">
      <c r="A17" s="16" t="s">
        <v>45</v>
      </c>
      <c r="B17" s="46" t="s">
        <v>18</v>
      </c>
      <c r="C17" s="46"/>
      <c r="D17" s="15" t="s">
        <v>37</v>
      </c>
      <c r="E17" s="2"/>
      <c r="F17" s="62"/>
      <c r="G17" s="20" t="s">
        <v>27</v>
      </c>
      <c r="H17" s="20"/>
      <c r="I17" s="21">
        <f t="shared" si="0"/>
        <v>0</v>
      </c>
      <c r="J17" s="21">
        <f t="shared" si="1"/>
        <v>0</v>
      </c>
      <c r="K17" s="21"/>
    </row>
    <row r="18" spans="1:11" ht="33.75" customHeight="1" thickBot="1" x14ac:dyDescent="0.25">
      <c r="A18" s="16" t="s">
        <v>46</v>
      </c>
      <c r="B18" s="46" t="s">
        <v>19</v>
      </c>
      <c r="C18" s="46"/>
      <c r="D18" s="15" t="s">
        <v>38</v>
      </c>
      <c r="E18" s="2"/>
      <c r="F18" s="62"/>
      <c r="G18" s="20" t="s">
        <v>28</v>
      </c>
      <c r="H18" s="20"/>
      <c r="I18" s="21">
        <f t="shared" si="0"/>
        <v>0</v>
      </c>
      <c r="J18" s="21">
        <f t="shared" si="1"/>
        <v>0</v>
      </c>
      <c r="K18" s="21">
        <f>SUM(J11:J18)</f>
        <v>0</v>
      </c>
    </row>
    <row r="19" spans="1:11" ht="14.25" customHeight="1" thickBot="1" x14ac:dyDescent="0.25">
      <c r="A19" s="88" t="s">
        <v>3</v>
      </c>
      <c r="B19" s="89"/>
      <c r="C19" s="90"/>
      <c r="D19" s="13"/>
      <c r="E19" s="4">
        <f>K18</f>
        <v>0</v>
      </c>
      <c r="F19" s="63"/>
      <c r="G19" s="20"/>
      <c r="H19" s="20"/>
      <c r="I19" s="22">
        <f>SUM(I11:I18)*1/8</f>
        <v>0</v>
      </c>
      <c r="J19" s="21"/>
      <c r="K19" s="21"/>
    </row>
    <row r="20" spans="1:11" ht="25.5" customHeight="1" thickTop="1" thickBot="1" x14ac:dyDescent="0.25">
      <c r="A20" s="52" t="s">
        <v>60</v>
      </c>
      <c r="B20" s="53"/>
      <c r="C20" s="54"/>
      <c r="D20" s="17" t="s">
        <v>29</v>
      </c>
      <c r="E20" s="44" t="s">
        <v>92</v>
      </c>
      <c r="F20" s="8"/>
      <c r="G20" s="30"/>
      <c r="H20" s="30"/>
      <c r="I20" s="28"/>
      <c r="J20" s="28"/>
      <c r="K20" s="29"/>
    </row>
    <row r="21" spans="1:11" ht="74.25" customHeight="1" thickTop="1" thickBot="1" x14ac:dyDescent="0.25">
      <c r="A21" s="16" t="s">
        <v>39</v>
      </c>
      <c r="B21" s="83" t="s">
        <v>87</v>
      </c>
      <c r="C21" s="83"/>
      <c r="D21" s="15" t="s">
        <v>55</v>
      </c>
      <c r="E21" s="2"/>
      <c r="F21" s="64"/>
      <c r="G21" s="31" t="s">
        <v>67</v>
      </c>
      <c r="H21" s="31"/>
      <c r="I21" s="28">
        <f t="shared" ref="I21:I30" si="2">IF(E21="X",1,0)</f>
        <v>0</v>
      </c>
      <c r="J21" s="28">
        <f t="shared" ref="J21:J30" si="3">IF(E21="X",1,0)</f>
        <v>0</v>
      </c>
      <c r="K21" s="29"/>
    </row>
    <row r="22" spans="1:11" ht="46.5" customHeight="1" thickBot="1" x14ac:dyDescent="0.25">
      <c r="A22" s="16" t="s">
        <v>40</v>
      </c>
      <c r="B22" s="83" t="s">
        <v>88</v>
      </c>
      <c r="C22" s="83"/>
      <c r="D22" s="15" t="s">
        <v>55</v>
      </c>
      <c r="E22" s="2"/>
      <c r="F22" s="65"/>
      <c r="G22" s="31" t="s">
        <v>68</v>
      </c>
      <c r="H22" s="31"/>
      <c r="I22" s="28">
        <f t="shared" si="2"/>
        <v>0</v>
      </c>
      <c r="J22" s="28">
        <f t="shared" si="3"/>
        <v>0</v>
      </c>
      <c r="K22" s="29"/>
    </row>
    <row r="23" spans="1:11" ht="33" customHeight="1" thickBot="1" x14ac:dyDescent="0.25">
      <c r="A23" s="16" t="s">
        <v>41</v>
      </c>
      <c r="B23" s="46" t="s">
        <v>47</v>
      </c>
      <c r="C23" s="46"/>
      <c r="D23" s="15" t="s">
        <v>56</v>
      </c>
      <c r="E23" s="2"/>
      <c r="F23" s="65"/>
      <c r="G23" s="31" t="s">
        <v>69</v>
      </c>
      <c r="H23" s="31"/>
      <c r="I23" s="28">
        <f t="shared" si="2"/>
        <v>0</v>
      </c>
      <c r="J23" s="28">
        <f t="shared" si="3"/>
        <v>0</v>
      </c>
      <c r="K23" s="29"/>
    </row>
    <row r="24" spans="1:11" ht="37.5" customHeight="1" thickBot="1" x14ac:dyDescent="0.25">
      <c r="A24" s="16" t="s">
        <v>42</v>
      </c>
      <c r="B24" s="46" t="s">
        <v>48</v>
      </c>
      <c r="C24" s="46"/>
      <c r="D24" s="15" t="s">
        <v>55</v>
      </c>
      <c r="E24" s="2"/>
      <c r="F24" s="65"/>
      <c r="G24" s="31" t="s">
        <v>70</v>
      </c>
      <c r="H24" s="31"/>
      <c r="I24" s="28">
        <f t="shared" si="2"/>
        <v>0</v>
      </c>
      <c r="J24" s="28">
        <f>IF(E24="X",1,0)</f>
        <v>0</v>
      </c>
      <c r="K24" s="29"/>
    </row>
    <row r="25" spans="1:11" ht="78" customHeight="1" thickBot="1" x14ac:dyDescent="0.25">
      <c r="A25" s="16" t="s">
        <v>43</v>
      </c>
      <c r="B25" s="83" t="s">
        <v>89</v>
      </c>
      <c r="C25" s="83"/>
      <c r="D25" s="15" t="s">
        <v>56</v>
      </c>
      <c r="E25" s="2"/>
      <c r="F25" s="65"/>
      <c r="G25" s="31" t="s">
        <v>71</v>
      </c>
      <c r="H25" s="31"/>
      <c r="I25" s="28">
        <f t="shared" si="2"/>
        <v>0</v>
      </c>
      <c r="J25" s="28">
        <f>IF(E25="X",1,0)</f>
        <v>0</v>
      </c>
      <c r="K25" s="29"/>
    </row>
    <row r="26" spans="1:11" ht="31.5" customHeight="1" thickBot="1" x14ac:dyDescent="0.25">
      <c r="A26" s="16" t="s">
        <v>44</v>
      </c>
      <c r="B26" s="46" t="s">
        <v>49</v>
      </c>
      <c r="C26" s="46"/>
      <c r="D26" s="15" t="s">
        <v>56</v>
      </c>
      <c r="E26" s="2"/>
      <c r="F26" s="65"/>
      <c r="G26" s="32" t="s">
        <v>72</v>
      </c>
      <c r="H26" s="31"/>
      <c r="I26" s="28">
        <f t="shared" si="2"/>
        <v>0</v>
      </c>
      <c r="J26" s="28">
        <f t="shared" si="3"/>
        <v>0</v>
      </c>
      <c r="K26" s="29"/>
    </row>
    <row r="27" spans="1:11" ht="33" customHeight="1" thickBot="1" x14ac:dyDescent="0.25">
      <c r="A27" s="16" t="s">
        <v>45</v>
      </c>
      <c r="B27" s="46" t="s">
        <v>90</v>
      </c>
      <c r="C27" s="46"/>
      <c r="D27" s="15" t="s">
        <v>56</v>
      </c>
      <c r="E27" s="2"/>
      <c r="F27" s="65"/>
      <c r="G27" s="31" t="s">
        <v>73</v>
      </c>
      <c r="H27" s="31"/>
      <c r="I27" s="28">
        <f t="shared" si="2"/>
        <v>0</v>
      </c>
      <c r="J27" s="28">
        <f>IF(E27="X",1,0)</f>
        <v>0</v>
      </c>
      <c r="K27" s="29"/>
    </row>
    <row r="28" spans="1:11" ht="44.25" customHeight="1" thickBot="1" x14ac:dyDescent="0.25">
      <c r="A28" s="16" t="s">
        <v>46</v>
      </c>
      <c r="B28" s="46" t="s">
        <v>50</v>
      </c>
      <c r="C28" s="46"/>
      <c r="D28" s="15" t="s">
        <v>57</v>
      </c>
      <c r="E28" s="2"/>
      <c r="F28" s="65"/>
      <c r="G28" s="31" t="s">
        <v>74</v>
      </c>
      <c r="H28" s="31"/>
      <c r="I28" s="28">
        <f t="shared" si="2"/>
        <v>0</v>
      </c>
      <c r="J28" s="28">
        <f>IF(E28="X",1,0)</f>
        <v>0</v>
      </c>
      <c r="K28" s="29"/>
    </row>
    <row r="29" spans="1:11" ht="73.5" customHeight="1" thickBot="1" x14ac:dyDescent="0.25">
      <c r="A29" s="16" t="s">
        <v>53</v>
      </c>
      <c r="B29" s="46" t="s">
        <v>51</v>
      </c>
      <c r="C29" s="46"/>
      <c r="D29" s="15" t="s">
        <v>58</v>
      </c>
      <c r="E29" s="2"/>
      <c r="F29" s="65"/>
      <c r="G29" s="31" t="s">
        <v>75</v>
      </c>
      <c r="H29" s="31"/>
      <c r="I29" s="28">
        <f t="shared" si="2"/>
        <v>0</v>
      </c>
      <c r="J29" s="28">
        <f>IF(E29="X",1,0)</f>
        <v>0</v>
      </c>
      <c r="K29" s="29"/>
    </row>
    <row r="30" spans="1:11" ht="36" customHeight="1" thickBot="1" x14ac:dyDescent="0.25">
      <c r="A30" s="16" t="s">
        <v>54</v>
      </c>
      <c r="B30" s="46" t="s">
        <v>52</v>
      </c>
      <c r="C30" s="46"/>
      <c r="D30" s="15" t="s">
        <v>59</v>
      </c>
      <c r="E30" s="2"/>
      <c r="F30" s="65"/>
      <c r="G30" s="31" t="s">
        <v>76</v>
      </c>
      <c r="H30" s="31"/>
      <c r="I30" s="28">
        <f t="shared" si="2"/>
        <v>0</v>
      </c>
      <c r="J30" s="28">
        <f t="shared" si="3"/>
        <v>0</v>
      </c>
      <c r="K30" s="29">
        <f>SUM(J21:J30)</f>
        <v>0</v>
      </c>
    </row>
    <row r="31" spans="1:11" ht="16.5" customHeight="1" thickBot="1" x14ac:dyDescent="0.25">
      <c r="A31" s="77" t="s">
        <v>0</v>
      </c>
      <c r="B31" s="78"/>
      <c r="C31" s="79"/>
      <c r="D31" s="12"/>
      <c r="E31" s="5">
        <f>K30</f>
        <v>0</v>
      </c>
      <c r="F31" s="66"/>
      <c r="G31" s="31"/>
      <c r="H31" s="31"/>
      <c r="I31" s="33">
        <f>SUM(I21:I30)*1/10</f>
        <v>0</v>
      </c>
      <c r="J31" s="28"/>
      <c r="K31" s="29"/>
    </row>
    <row r="32" spans="1:11" ht="31.5" customHeight="1" thickTop="1" thickBot="1" x14ac:dyDescent="0.25">
      <c r="A32" s="80" t="s">
        <v>2</v>
      </c>
      <c r="B32" s="81"/>
      <c r="C32" s="82"/>
      <c r="D32" s="14" t="s">
        <v>29</v>
      </c>
      <c r="E32" s="45" t="s">
        <v>92</v>
      </c>
      <c r="F32" s="8"/>
      <c r="G32" s="30"/>
      <c r="H32" s="30"/>
      <c r="I32" s="28"/>
      <c r="J32" s="28"/>
      <c r="K32" s="29"/>
    </row>
    <row r="33" spans="1:11" ht="37.5" customHeight="1" thickTop="1" thickBot="1" x14ac:dyDescent="0.25">
      <c r="A33" s="16" t="s">
        <v>39</v>
      </c>
      <c r="B33" s="46" t="s">
        <v>61</v>
      </c>
      <c r="C33" s="46"/>
      <c r="D33" s="18" t="s">
        <v>65</v>
      </c>
      <c r="E33" s="2"/>
      <c r="F33" s="64"/>
      <c r="G33" s="31" t="s">
        <v>77</v>
      </c>
      <c r="H33" s="31"/>
      <c r="I33" s="28">
        <f t="shared" ref="I33:I37" si="4">IF(E33="X",1,0)</f>
        <v>0</v>
      </c>
      <c r="J33" s="28">
        <f t="shared" ref="J33:J34" si="5">IF(E33="X",1,0)</f>
        <v>0</v>
      </c>
      <c r="K33" s="29"/>
    </row>
    <row r="34" spans="1:11" ht="39.75" customHeight="1" thickBot="1" x14ac:dyDescent="0.25">
      <c r="A34" s="16" t="s">
        <v>40</v>
      </c>
      <c r="B34" s="46" t="s">
        <v>62</v>
      </c>
      <c r="C34" s="46"/>
      <c r="D34" s="19" t="s">
        <v>66</v>
      </c>
      <c r="E34" s="2"/>
      <c r="F34" s="65"/>
      <c r="G34" s="31" t="s">
        <v>78</v>
      </c>
      <c r="H34" s="31"/>
      <c r="I34" s="28">
        <f t="shared" si="4"/>
        <v>0</v>
      </c>
      <c r="J34" s="28">
        <f t="shared" si="5"/>
        <v>0</v>
      </c>
      <c r="K34" s="29"/>
    </row>
    <row r="35" spans="1:11" ht="39" customHeight="1" thickBot="1" x14ac:dyDescent="0.25">
      <c r="A35" s="16" t="s">
        <v>41</v>
      </c>
      <c r="B35" s="46" t="s">
        <v>91</v>
      </c>
      <c r="C35" s="46"/>
      <c r="D35" s="19" t="s">
        <v>66</v>
      </c>
      <c r="E35" s="2"/>
      <c r="F35" s="65"/>
      <c r="G35" s="31" t="s">
        <v>79</v>
      </c>
      <c r="H35" s="31"/>
      <c r="I35" s="28">
        <f t="shared" si="4"/>
        <v>0</v>
      </c>
      <c r="J35" s="28">
        <f>IF(E35="X",1,0)</f>
        <v>0</v>
      </c>
      <c r="K35" s="29"/>
    </row>
    <row r="36" spans="1:11" ht="39" customHeight="1" thickBot="1" x14ac:dyDescent="0.25">
      <c r="A36" s="16" t="s">
        <v>42</v>
      </c>
      <c r="B36" s="46" t="s">
        <v>63</v>
      </c>
      <c r="C36" s="46"/>
      <c r="D36" s="19" t="s">
        <v>66</v>
      </c>
      <c r="E36" s="2"/>
      <c r="F36" s="65"/>
      <c r="G36" s="31" t="s">
        <v>80</v>
      </c>
      <c r="H36" s="31"/>
      <c r="I36" s="28">
        <f t="shared" si="4"/>
        <v>0</v>
      </c>
      <c r="J36" s="28">
        <f>IF(E36="X",1,0)</f>
        <v>0</v>
      </c>
      <c r="K36" s="29"/>
    </row>
    <row r="37" spans="1:11" ht="27.75" customHeight="1" thickBot="1" x14ac:dyDescent="0.25">
      <c r="A37" s="16" t="s">
        <v>43</v>
      </c>
      <c r="B37" s="46" t="s">
        <v>64</v>
      </c>
      <c r="C37" s="46"/>
      <c r="D37" s="19" t="s">
        <v>66</v>
      </c>
      <c r="E37" s="2"/>
      <c r="F37" s="65"/>
      <c r="G37" s="31" t="s">
        <v>81</v>
      </c>
      <c r="H37" s="31"/>
      <c r="I37" s="28">
        <f t="shared" si="4"/>
        <v>0</v>
      </c>
      <c r="J37" s="28">
        <f>IF(E37="X",1,0)</f>
        <v>0</v>
      </c>
      <c r="K37" s="29">
        <f>SUM(J33:J37)</f>
        <v>0</v>
      </c>
    </row>
    <row r="38" spans="1:11" ht="19.5" customHeight="1" thickBot="1" x14ac:dyDescent="0.25">
      <c r="A38" s="77" t="s">
        <v>0</v>
      </c>
      <c r="B38" s="78"/>
      <c r="C38" s="79"/>
      <c r="D38" s="12"/>
      <c r="E38" s="6">
        <f>K37</f>
        <v>0</v>
      </c>
      <c r="F38" s="66"/>
      <c r="G38" s="31"/>
      <c r="H38" s="31"/>
      <c r="I38" s="33">
        <f>SUM(I33:I37)*1/5</f>
        <v>0</v>
      </c>
      <c r="J38" s="28"/>
      <c r="K38" s="34">
        <f>SUM(E38,E31,E19)</f>
        <v>0</v>
      </c>
    </row>
    <row r="39" spans="1:11" ht="147.75" customHeight="1" thickTop="1" x14ac:dyDescent="0.2">
      <c r="A39" s="71" t="s">
        <v>1</v>
      </c>
      <c r="B39" s="72"/>
      <c r="C39" s="73"/>
      <c r="D39" s="10"/>
      <c r="E39" s="7">
        <f>K38*1/23</f>
        <v>0</v>
      </c>
      <c r="F39" s="9"/>
      <c r="G39" s="35"/>
      <c r="H39" s="36" t="s">
        <v>11</v>
      </c>
      <c r="I39" s="33">
        <f>I19</f>
        <v>0</v>
      </c>
      <c r="J39" s="28"/>
      <c r="K39" s="29"/>
    </row>
    <row r="40" spans="1:11" ht="38.25" customHeight="1" thickBot="1" x14ac:dyDescent="0.3">
      <c r="A40" s="49" t="s">
        <v>82</v>
      </c>
      <c r="B40" s="50"/>
      <c r="C40" s="50"/>
      <c r="D40" s="50"/>
      <c r="E40" s="50"/>
      <c r="F40" s="51"/>
      <c r="G40" s="37"/>
      <c r="H40" s="38" t="s">
        <v>12</v>
      </c>
      <c r="I40" s="33">
        <f>I31</f>
        <v>0</v>
      </c>
      <c r="J40" s="28"/>
      <c r="K40" s="29"/>
    </row>
    <row r="41" spans="1:11" ht="26.25" thickTop="1" x14ac:dyDescent="0.25">
      <c r="B41" s="1" t="s">
        <v>14</v>
      </c>
      <c r="G41" s="28"/>
      <c r="H41" s="39" t="s">
        <v>13</v>
      </c>
      <c r="I41" s="33">
        <f>I38</f>
        <v>0</v>
      </c>
      <c r="J41" s="28"/>
      <c r="K41" s="29"/>
    </row>
    <row r="42" spans="1:11" x14ac:dyDescent="0.2">
      <c r="G42" s="28"/>
      <c r="H42" s="28"/>
      <c r="I42" s="28"/>
      <c r="J42" s="28"/>
      <c r="K42" s="29"/>
    </row>
  </sheetData>
  <mergeCells count="50">
    <mergeCell ref="B22:C22"/>
    <mergeCell ref="B23:C23"/>
    <mergeCell ref="B29:C29"/>
    <mergeCell ref="A9:B9"/>
    <mergeCell ref="A19:C19"/>
    <mergeCell ref="B12:C12"/>
    <mergeCell ref="B13:C13"/>
    <mergeCell ref="B14:C14"/>
    <mergeCell ref="B15:C15"/>
    <mergeCell ref="C9:F9"/>
    <mergeCell ref="B28:C28"/>
    <mergeCell ref="B21:C21"/>
    <mergeCell ref="A8:B8"/>
    <mergeCell ref="C8:F8"/>
    <mergeCell ref="A4:B4"/>
    <mergeCell ref="A6:B6"/>
    <mergeCell ref="A7:B7"/>
    <mergeCell ref="A5:B5"/>
    <mergeCell ref="A3:B3"/>
    <mergeCell ref="A39:C39"/>
    <mergeCell ref="A10:C10"/>
    <mergeCell ref="A38:C38"/>
    <mergeCell ref="A32:C32"/>
    <mergeCell ref="B30:C30"/>
    <mergeCell ref="B33:C33"/>
    <mergeCell ref="B34:C34"/>
    <mergeCell ref="B35:C35"/>
    <mergeCell ref="B24:C24"/>
    <mergeCell ref="B25:C25"/>
    <mergeCell ref="B26:C26"/>
    <mergeCell ref="B27:C27"/>
    <mergeCell ref="B18:C18"/>
    <mergeCell ref="B37:C37"/>
    <mergeCell ref="A31:C31"/>
    <mergeCell ref="B36:C36"/>
    <mergeCell ref="A1:F1"/>
    <mergeCell ref="A40:F40"/>
    <mergeCell ref="A20:C20"/>
    <mergeCell ref="C2:F2"/>
    <mergeCell ref="C3:F3"/>
    <mergeCell ref="C4:F4"/>
    <mergeCell ref="C7:F7"/>
    <mergeCell ref="C6:F6"/>
    <mergeCell ref="B16:C16"/>
    <mergeCell ref="B17:C17"/>
    <mergeCell ref="F10:F19"/>
    <mergeCell ref="F21:F31"/>
    <mergeCell ref="F33:F38"/>
    <mergeCell ref="B11:C11"/>
    <mergeCell ref="A2:B2"/>
  </mergeCells>
  <conditionalFormatting sqref="E11:E18">
    <cfRule type="containsText" dxfId="18" priority="42" operator="containsText" text="X">
      <formula>NOT(ISERROR(SEARCH("X",E11)))</formula>
    </cfRule>
  </conditionalFormatting>
  <conditionalFormatting sqref="F21 H21">
    <cfRule type="containsText" priority="23" operator="containsText" text="X">
      <formula>NOT(ISERROR(SEARCH("X",F21)))</formula>
    </cfRule>
    <cfRule type="containsBlanks" dxfId="17" priority="28">
      <formula>LEN(TRIM(F21))=0</formula>
    </cfRule>
    <cfRule type="containsBlanks" dxfId="16" priority="31">
      <formula>LEN(TRIM(F21))=0</formula>
    </cfRule>
    <cfRule type="containsText" dxfId="15" priority="32" operator="containsText" text="X">
      <formula>NOT(ISERROR(SEARCH("X",F21)))</formula>
    </cfRule>
  </conditionalFormatting>
  <conditionalFormatting sqref="F21 H21">
    <cfRule type="containsText" dxfId="14" priority="27" operator="containsText" text="NO">
      <formula>NOT(ISERROR(SEARCH("NO",F21)))</formula>
    </cfRule>
    <cfRule type="containsText" dxfId="13" priority="30" operator="containsText" text="no">
      <formula>NOT(ISERROR(SEARCH("no",F21)))</formula>
    </cfRule>
  </conditionalFormatting>
  <conditionalFormatting sqref="F21 H21">
    <cfRule type="containsBlanks" priority="29">
      <formula>LEN(TRIM(F21))=0</formula>
    </cfRule>
  </conditionalFormatting>
  <conditionalFormatting sqref="F21 H21">
    <cfRule type="containsText" dxfId="12" priority="26" operator="containsText" text="SI">
      <formula>NOT(ISERROR(SEARCH("SI",F21)))</formula>
    </cfRule>
  </conditionalFormatting>
  <conditionalFormatting sqref="F21 H21">
    <cfRule type="containsText" dxfId="11" priority="24" operator="containsText" text="1">
      <formula>NOT(ISERROR(SEARCH("1",F21)))</formula>
    </cfRule>
    <cfRule type="containsText" dxfId="10" priority="25" operator="containsText" text="0">
      <formula>NOT(ISERROR(SEARCH("0",F21)))</formula>
    </cfRule>
  </conditionalFormatting>
  <conditionalFormatting sqref="F33 H33">
    <cfRule type="containsText" priority="13" operator="containsText" text="X">
      <formula>NOT(ISERROR(SEARCH("X",F33)))</formula>
    </cfRule>
    <cfRule type="containsBlanks" dxfId="9" priority="18">
      <formula>LEN(TRIM(F33))=0</formula>
    </cfRule>
    <cfRule type="containsBlanks" dxfId="8" priority="21">
      <formula>LEN(TRIM(F33))=0</formula>
    </cfRule>
    <cfRule type="containsText" dxfId="7" priority="22" operator="containsText" text="X">
      <formula>NOT(ISERROR(SEARCH("X",F33)))</formula>
    </cfRule>
  </conditionalFormatting>
  <conditionalFormatting sqref="F33 H33">
    <cfRule type="containsText" dxfId="6" priority="17" operator="containsText" text="NO">
      <formula>NOT(ISERROR(SEARCH("NO",F33)))</formula>
    </cfRule>
    <cfRule type="containsText" dxfId="5" priority="20" operator="containsText" text="no">
      <formula>NOT(ISERROR(SEARCH("no",F33)))</formula>
    </cfRule>
  </conditionalFormatting>
  <conditionalFormatting sqref="F33 H33">
    <cfRule type="containsBlanks" priority="19">
      <formula>LEN(TRIM(F33))=0</formula>
    </cfRule>
  </conditionalFormatting>
  <conditionalFormatting sqref="F33 H33">
    <cfRule type="containsText" dxfId="4" priority="16" operator="containsText" text="SI">
      <formula>NOT(ISERROR(SEARCH("SI",F33)))</formula>
    </cfRule>
  </conditionalFormatting>
  <conditionalFormatting sqref="F33 H33">
    <cfRule type="containsText" dxfId="3" priority="14" operator="containsText" text="1">
      <formula>NOT(ISERROR(SEARCH("1",F33)))</formula>
    </cfRule>
    <cfRule type="containsText" dxfId="2" priority="15" operator="containsText" text="0">
      <formula>NOT(ISERROR(SEARCH("0",F33)))</formula>
    </cfRule>
  </conditionalFormatting>
  <conditionalFormatting sqref="E11:E18">
    <cfRule type="containsText" priority="9" operator="containsText" text="x">
      <formula>NOT(ISERROR(SEARCH("x",E11)))</formula>
    </cfRule>
  </conditionalFormatting>
  <conditionalFormatting sqref="E33:E37">
    <cfRule type="containsText" dxfId="1" priority="2" operator="containsText" text="X">
      <formula>NOT(ISERROR(SEARCH("X",E33)))</formula>
    </cfRule>
  </conditionalFormatting>
  <conditionalFormatting sqref="E33:E37">
    <cfRule type="containsText" priority="1" operator="containsText" text="x">
      <formula>NOT(ISERROR(SEARCH("x",E33)))</formula>
    </cfRule>
  </conditionalFormatting>
  <conditionalFormatting sqref="E21:E30">
    <cfRule type="containsText" dxfId="0" priority="4" operator="containsText" text="X">
      <formula>NOT(ISERROR(SEARCH("X",E21)))</formula>
    </cfRule>
  </conditionalFormatting>
  <conditionalFormatting sqref="E21:E30">
    <cfRule type="containsText" priority="3" operator="containsText" text="x">
      <formula>NOT(ISERROR(SEARCH("x",E21)))</formula>
    </cfRule>
  </conditionalFormatting>
  <dataValidations count="1">
    <dataValidation type="list" allowBlank="1" showInputMessage="1" showErrorMessage="1" sqref="E21:E30 E11:E18 E33:E37">
      <formula1>"x"</formula1>
    </dataValidation>
  </dataValidations>
  <pageMargins left="0.70866141732283472" right="0.70866141732283472" top="0.39370078740157483" bottom="0.35433070866141736" header="0.31496062992125984" footer="0.31496062992125984"/>
  <pageSetup scale="61" orientation="landscape" horizontalDpi="4294967293" r:id="rId1"/>
  <rowBreaks count="1" manualBreakCount="1">
    <brk id="2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FORM. CAI ES 1ER NIVEL  </vt:lpstr>
      <vt:lpstr>'FORM. CAI ES 1ER NIVEL 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Kokito</dc:creator>
  <cp:lastModifiedBy>Monica</cp:lastModifiedBy>
  <cp:lastPrinted>2017-07-08T23:54:06Z</cp:lastPrinted>
  <dcterms:created xsi:type="dcterms:W3CDTF">2015-09-16T10:28:38Z</dcterms:created>
  <dcterms:modified xsi:type="dcterms:W3CDTF">2020-03-04T14:21:19Z</dcterms:modified>
</cp:coreProperties>
</file>